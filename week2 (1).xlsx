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36" windowWidth="19092" windowHeight="7392"/>
  </bookViews>
  <sheets>
    <sheet name="RawData" sheetId="1" r:id="rId1"/>
    <sheet name="Analysis" sheetId="2" r:id="rId2"/>
    <sheet name=" Dashboard " sheetId="3" r:id="rId3"/>
  </sheets>
  <calcPr calcId="124519"/>
</workbook>
</file>

<file path=xl/calcChain.xml><?xml version="1.0" encoding="utf-8"?>
<calcChain xmlns="http://schemas.openxmlformats.org/spreadsheetml/2006/main">
  <c r="F2" i="1"/>
  <c r="F7"/>
  <c r="C3" i="3"/>
  <c r="B3"/>
  <c r="D3"/>
  <c r="E3"/>
  <c r="E18" i="2"/>
  <c r="E19"/>
  <c r="E20"/>
  <c r="E21"/>
  <c r="F3" i="1"/>
  <c r="F4"/>
  <c r="F5"/>
  <c r="F6"/>
  <c r="F8"/>
  <c r="F9"/>
  <c r="F10"/>
  <c r="F11"/>
  <c r="C3" i="2"/>
  <c r="D3"/>
  <c r="C4"/>
  <c r="D4"/>
  <c r="C5"/>
  <c r="D5"/>
  <c r="C6"/>
  <c r="D6"/>
  <c r="C7"/>
  <c r="C11"/>
  <c r="D11"/>
  <c r="C12"/>
  <c r="D12"/>
  <c r="C13"/>
  <c r="D13"/>
  <c r="C14"/>
  <c r="D14"/>
  <c r="D7" l="1"/>
</calcChain>
</file>

<file path=xl/sharedStrings.xml><?xml version="1.0" encoding="utf-8"?>
<sst xmlns="http://schemas.openxmlformats.org/spreadsheetml/2006/main" count="98" uniqueCount="40">
  <si>
    <t>Product</t>
  </si>
  <si>
    <t>Sales</t>
  </si>
  <si>
    <t>Region</t>
  </si>
  <si>
    <t>Month</t>
  </si>
  <si>
    <t>Salesperson</t>
  </si>
  <si>
    <t>Mobile</t>
  </si>
  <si>
    <t>North</t>
  </si>
  <si>
    <t>Jan</t>
  </si>
  <si>
    <t>Rahul</t>
  </si>
  <si>
    <t>Laptop</t>
  </si>
  <si>
    <t>South</t>
  </si>
  <si>
    <t>Priya</t>
  </si>
  <si>
    <t>Tablet</t>
  </si>
  <si>
    <t>West</t>
  </si>
  <si>
    <t>Amit</t>
  </si>
  <si>
    <t>Headphones</t>
  </si>
  <si>
    <t>Feb</t>
  </si>
  <si>
    <t>Smartwatch</t>
  </si>
  <si>
    <t>East</t>
  </si>
  <si>
    <t>Neha</t>
  </si>
  <si>
    <t>REGION-WISE ANALYSIS</t>
  </si>
  <si>
    <t>Total Sales</t>
  </si>
  <si>
    <t>Order Count</t>
  </si>
  <si>
    <t>TOTAL</t>
  </si>
  <si>
    <t>—</t>
  </si>
  <si>
    <t>SALESPERSON ANALYSIS</t>
  </si>
  <si>
    <t>Name</t>
  </si>
  <si>
    <t>Orders</t>
  </si>
  <si>
    <t>Column1</t>
  </si>
  <si>
    <t>Column2</t>
  </si>
  <si>
    <t>Rating</t>
  </si>
  <si>
    <t>MONTH-WISE BREAKDOWN (SUMIFS)</t>
  </si>
  <si>
    <t>Column3</t>
  </si>
  <si>
    <t>Column4</t>
  </si>
  <si>
    <t>PRODUCT RATING (NESTED IF — RawData F column mein)</t>
  </si>
  <si>
    <t>SALES DASHBOARD — Week 2 Project (Ankit Sahu)</t>
  </si>
  <si>
    <t>Best Region</t>
  </si>
  <si>
    <t>Top Seller</t>
  </si>
  <si>
    <t>Total Orders</t>
  </si>
  <si>
    <t>₹7,16,000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</si>
</sst>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4" fillId="3" borderId="0" applyNumberFormat="0" applyBorder="0" applyAlignment="0" applyProtection="0"/>
    <xf numFmtId="0" fontId="1" fillId="0" borderId="0">
      <alignment horizont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2" fillId="2" borderId="1" xfId="1" applyAlignment="1">
      <alignment horizontal="center"/>
    </xf>
    <xf numFmtId="0" fontId="4" fillId="3" borderId="0" xfId="2" applyAlignment="1">
      <alignment horizontal="center"/>
    </xf>
  </cellXfs>
  <cellStyles count="4">
    <cellStyle name="Accent1" xfId="2" builtinId="29"/>
    <cellStyle name="Normal" xfId="0" builtinId="0"/>
    <cellStyle name="Output" xfId="1" builtinId="21"/>
    <cellStyle name="Style 1" xfId="3"/>
  </cellStyles>
  <dxfs count="20"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numFmt numFmtId="0" formatCode="General"/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3"/>
  <c:chart>
    <c:title>
      <c:tx>
        <c:rich>
          <a:bodyPr/>
          <a:lstStyle/>
          <a:p>
            <a:pPr>
              <a:defRPr/>
            </a:pPr>
            <a:r>
              <a:rPr lang="en-US"/>
              <a:t> Region-wise Sales Performance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2520109815915259"/>
          <c:y val="0.17445984775593823"/>
          <c:w val="0.56154095516595348"/>
          <c:h val="0.69054070859596417"/>
        </c:manualLayout>
      </c:layout>
      <c:barChart>
        <c:barDir val="bar"/>
        <c:grouping val="clustered"/>
        <c:ser>
          <c:idx val="0"/>
          <c:order val="0"/>
          <c:tx>
            <c:strRef>
              <c:f>Analysis!$C$1:$C$2</c:f>
              <c:strCache>
                <c:ptCount val="1"/>
                <c:pt idx="0">
                  <c:v>Column1 Total Sales</c:v>
                </c:pt>
              </c:strCache>
            </c:strRef>
          </c:tx>
          <c:dLbls>
            <c:dLblPos val="inEnd"/>
            <c:showVal val="1"/>
          </c:dLbls>
          <c:cat>
            <c:strRef>
              <c:f>Analysis!$B$3:$B$6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Analysis!$C$3:$C$6</c:f>
              <c:numCache>
                <c:formatCode>General</c:formatCode>
                <c:ptCount val="4"/>
                <c:pt idx="0">
                  <c:v>227000</c:v>
                </c:pt>
                <c:pt idx="1">
                  <c:v>266000</c:v>
                </c:pt>
                <c:pt idx="2">
                  <c:v>105000</c:v>
                </c:pt>
                <c:pt idx="3">
                  <c:v>118000</c:v>
                </c:pt>
              </c:numCache>
            </c:numRef>
          </c:val>
        </c:ser>
        <c:dLbls/>
        <c:gapWidth val="75"/>
        <c:overlap val="40"/>
        <c:axId val="145548416"/>
        <c:axId val="145501568"/>
      </c:barChart>
      <c:valAx>
        <c:axId val="145501568"/>
        <c:scaling>
          <c:orientation val="minMax"/>
        </c:scaling>
        <c:axPos val="b"/>
        <c:majorGridlines/>
        <c:numFmt formatCode="General" sourceLinked="1"/>
        <c:majorTickMark val="none"/>
        <c:tickLblPos val="nextTo"/>
        <c:crossAx val="145548416"/>
        <c:crossBetween val="between"/>
      </c:valAx>
      <c:catAx>
        <c:axId val="145548416"/>
        <c:scaling>
          <c:orientation val="minMax"/>
        </c:scaling>
        <c:axPos val="l"/>
        <c:majorTickMark val="none"/>
        <c:tickLblPos val="nextTo"/>
        <c:crossAx val="145501568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5"/>
  <c:chart>
    <c:title>
      <c:tx>
        <c:rich>
          <a:bodyPr/>
          <a:lstStyle/>
          <a:p>
            <a:pPr>
              <a:defRPr/>
            </a:pPr>
            <a:r>
              <a:rPr lang="en-US"/>
              <a:t>Salesperson Sales Comparison</a:t>
            </a:r>
          </a:p>
          <a:p>
            <a:pPr>
              <a:defRPr/>
            </a:pPr>
            <a:r>
              <a:rPr lang="en-US"/>
              <a:t/>
            </a:r>
            <a:br>
              <a:rPr lang="en-US"/>
            </a:br>
            <a:endParaRPr lang="en-US"/>
          </a:p>
        </c:rich>
      </c:tx>
      <c:layout>
        <c:manualLayout>
          <c:xMode val="edge"/>
          <c:yMode val="edge"/>
          <c:x val="0.26700641824339655"/>
          <c:y val="2.557544757033248E-2"/>
        </c:manualLayout>
      </c:layout>
    </c:title>
    <c:plotArea>
      <c:layout>
        <c:manualLayout>
          <c:layoutTarget val="inner"/>
          <c:xMode val="edge"/>
          <c:yMode val="edge"/>
          <c:x val="0.10520132687495695"/>
          <c:y val="0.16967263420430653"/>
          <c:w val="0.62919010123734542"/>
          <c:h val="0.69566374165915823"/>
        </c:manualLayout>
      </c:layout>
      <c:barChart>
        <c:barDir val="bar"/>
        <c:grouping val="clustered"/>
        <c:ser>
          <c:idx val="0"/>
          <c:order val="0"/>
          <c:tx>
            <c:strRef>
              <c:f>Analysis!$C$9:$C$10</c:f>
              <c:strCache>
                <c:ptCount val="1"/>
                <c:pt idx="0">
                  <c:v>SALESPERSON ANALYSIS Total Sales</c:v>
                </c:pt>
              </c:strCache>
            </c:strRef>
          </c:tx>
          <c:dLbls>
            <c:dLblPos val="inEnd"/>
            <c:showVal val="1"/>
          </c:dLbls>
          <c:cat>
            <c:strRef>
              <c:f>Analysis!$B$11:$B$14</c:f>
              <c:strCache>
                <c:ptCount val="4"/>
                <c:pt idx="0">
                  <c:v>Rahul</c:v>
                </c:pt>
                <c:pt idx="1">
                  <c:v>Priya</c:v>
                </c:pt>
                <c:pt idx="2">
                  <c:v>Amit</c:v>
                </c:pt>
                <c:pt idx="3">
                  <c:v>Neha</c:v>
                </c:pt>
              </c:strCache>
            </c:strRef>
          </c:cat>
          <c:val>
            <c:numRef>
              <c:f>Analysis!$C$11:$C$14</c:f>
              <c:numCache>
                <c:formatCode>General</c:formatCode>
                <c:ptCount val="4"/>
                <c:pt idx="0">
                  <c:v>172000</c:v>
                </c:pt>
                <c:pt idx="1">
                  <c:v>284000</c:v>
                </c:pt>
                <c:pt idx="2">
                  <c:v>155000</c:v>
                </c:pt>
                <c:pt idx="3">
                  <c:v>105000</c:v>
                </c:pt>
              </c:numCache>
            </c:numRef>
          </c:val>
        </c:ser>
        <c:dLbls/>
        <c:gapWidth val="75"/>
        <c:overlap val="40"/>
        <c:axId val="177541120"/>
        <c:axId val="178497024"/>
      </c:barChart>
      <c:catAx>
        <c:axId val="177541120"/>
        <c:scaling>
          <c:orientation val="minMax"/>
        </c:scaling>
        <c:axPos val="l"/>
        <c:majorTickMark val="none"/>
        <c:tickLblPos val="nextTo"/>
        <c:crossAx val="178497024"/>
        <c:crosses val="autoZero"/>
        <c:auto val="1"/>
        <c:lblAlgn val="ctr"/>
        <c:lblOffset val="100"/>
      </c:catAx>
      <c:valAx>
        <c:axId val="178497024"/>
        <c:scaling>
          <c:orientation val="minMax"/>
        </c:scaling>
        <c:axPos val="b"/>
        <c:majorGridlines/>
        <c:numFmt formatCode="General" sourceLinked="1"/>
        <c:majorTickMark val="none"/>
        <c:tickLblPos val="nextTo"/>
        <c:crossAx val="177541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918482128509446"/>
          <c:y val="0.59278443739308706"/>
          <c:w val="0.22623791923968686"/>
          <c:h val="0.12506561679790026"/>
        </c:manualLayout>
      </c:layout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121920</xdr:rowOff>
    </xdr:from>
    <xdr:to>
      <xdr:col>3</xdr:col>
      <xdr:colOff>152400</xdr:colOff>
      <xdr:row>22</xdr:row>
      <xdr:rowOff>68580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510540</xdr:colOff>
      <xdr:row>5</xdr:row>
      <xdr:rowOff>60960</xdr:rowOff>
    </xdr:from>
    <xdr:to>
      <xdr:col>6</xdr:col>
      <xdr:colOff>106680</xdr:colOff>
      <xdr:row>22</xdr:row>
      <xdr:rowOff>15240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F11" totalsRowShown="0" headerRowDxfId="13" dataDxfId="14">
  <autoFilter ref="A1:F11">
    <filterColumn colId="5"/>
  </autoFilter>
  <tableColumns count="6">
    <tableColumn id="1" name="Product" dataDxfId="19"/>
    <tableColumn id="2" name="Sales" dataDxfId="18"/>
    <tableColumn id="3" name="Region" dataDxfId="17"/>
    <tableColumn id="4" name="Month" dataDxfId="16"/>
    <tableColumn id="5" name="Salesperson" dataDxfId="15"/>
    <tableColumn id="6" name="Rating" dataDxfId="7">
      <calculatedColumnFormula>IF(B2&gt;=100000,"Excellent",IF(B2&gt;=60000,"Good",IF(B2&gt;=30000,"Average","Low")))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B1:D14" totalsRowShown="0" headerRowDxfId="8" dataDxfId="9">
  <autoFilter ref="B1:D14"/>
  <tableColumns count="3">
    <tableColumn id="1" name="REGION-WISE ANALYSIS" dataDxfId="12"/>
    <tableColumn id="2" name="Column1" dataDxfId="11"/>
    <tableColumn id="3" name="Column2" dataDxfId="1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B16:F22" totalsRowShown="0" headerRowDxfId="1" dataDxfId="0">
  <autoFilter ref="B16:F22"/>
  <tableColumns count="5">
    <tableColumn id="1" name="MONTH-WISE BREAKDOWN (SUMIFS)" dataDxfId="6"/>
    <tableColumn id="2" name="Column1" dataDxfId="5"/>
    <tableColumn id="3" name="Column2" dataDxfId="4"/>
    <tableColumn id="4" name="Column3" dataDxfId="3"/>
    <tableColumn id="5" name="Column4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selection activeCell="G11" sqref="G11"/>
    </sheetView>
  </sheetViews>
  <sheetFormatPr defaultRowHeight="14.4"/>
  <cols>
    <col min="1" max="1" width="15.21875" customWidth="1"/>
    <col min="5" max="5" width="12.886718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30</v>
      </c>
    </row>
    <row r="2" spans="1:6">
      <c r="A2" s="1" t="s">
        <v>5</v>
      </c>
      <c r="B2" s="1">
        <v>85000</v>
      </c>
      <c r="C2" s="1" t="s">
        <v>6</v>
      </c>
      <c r="D2" s="1" t="s">
        <v>7</v>
      </c>
      <c r="E2" s="1" t="s">
        <v>8</v>
      </c>
      <c r="F2" s="3" t="str">
        <f>IF(B2&gt;=100000,"Excellent",IF(B2&gt;=60000,"Good",IF(B2&gt;=30000,"Average","Low")))</f>
        <v>Good</v>
      </c>
    </row>
    <row r="3" spans="1:6">
      <c r="A3" s="1" t="s">
        <v>9</v>
      </c>
      <c r="B3" s="1">
        <v>120000</v>
      </c>
      <c r="C3" s="1" t="s">
        <v>10</v>
      </c>
      <c r="D3" s="1" t="s">
        <v>7</v>
      </c>
      <c r="E3" s="1" t="s">
        <v>11</v>
      </c>
      <c r="F3" s="3" t="str">
        <f t="shared" ref="F2:F11" si="0">IF(B3&gt;=100000,"Excellent",IF(B3&gt;=60000,"Good",IF(B3&gt;=30000,"Average","Low")))</f>
        <v>Excellent</v>
      </c>
    </row>
    <row r="4" spans="1:6">
      <c r="A4" s="1" t="s">
        <v>12</v>
      </c>
      <c r="B4" s="1">
        <v>45000</v>
      </c>
      <c r="C4" s="1" t="s">
        <v>13</v>
      </c>
      <c r="D4" s="1" t="s">
        <v>7</v>
      </c>
      <c r="E4" s="1" t="s">
        <v>14</v>
      </c>
      <c r="F4" s="3" t="str">
        <f t="shared" si="0"/>
        <v>Average</v>
      </c>
    </row>
    <row r="5" spans="1:6">
      <c r="A5" s="1" t="s">
        <v>15</v>
      </c>
      <c r="B5" s="1">
        <v>32000</v>
      </c>
      <c r="C5" s="1" t="s">
        <v>6</v>
      </c>
      <c r="D5" s="1" t="s">
        <v>16</v>
      </c>
      <c r="E5" s="1" t="s">
        <v>8</v>
      </c>
      <c r="F5" s="3" t="str">
        <f t="shared" si="0"/>
        <v>Average</v>
      </c>
    </row>
    <row r="6" spans="1:6">
      <c r="A6" s="1" t="s">
        <v>17</v>
      </c>
      <c r="B6" s="1">
        <v>67000</v>
      </c>
      <c r="C6" s="1" t="s">
        <v>18</v>
      </c>
      <c r="D6" s="1" t="s">
        <v>16</v>
      </c>
      <c r="E6" s="1" t="s">
        <v>19</v>
      </c>
      <c r="F6" s="3" t="str">
        <f t="shared" si="0"/>
        <v>Good</v>
      </c>
    </row>
    <row r="7" spans="1:6">
      <c r="A7" s="1" t="s">
        <v>5</v>
      </c>
      <c r="B7" s="1">
        <v>91000</v>
      </c>
      <c r="C7" s="1" t="s">
        <v>10</v>
      </c>
      <c r="D7" s="1" t="s">
        <v>16</v>
      </c>
      <c r="E7" s="1" t="s">
        <v>11</v>
      </c>
      <c r="F7" s="3" t="str">
        <f>IF(B7&gt;=100000,"Excellent",IF(B7&gt;=60000,"Good",IF(B7&gt;=30000,"Average","Low")))</f>
        <v>Good</v>
      </c>
    </row>
    <row r="8" spans="1:6">
      <c r="A8" s="1" t="s">
        <v>9</v>
      </c>
      <c r="B8" s="1">
        <v>110000</v>
      </c>
      <c r="C8" s="1" t="s">
        <v>6</v>
      </c>
      <c r="D8" s="1" t="s">
        <v>16</v>
      </c>
      <c r="E8" s="1" t="s">
        <v>14</v>
      </c>
      <c r="F8" s="3" t="str">
        <f t="shared" si="0"/>
        <v>Excellent</v>
      </c>
    </row>
    <row r="9" spans="1:6">
      <c r="A9" s="1" t="s">
        <v>12</v>
      </c>
      <c r="B9" s="1">
        <v>38000</v>
      </c>
      <c r="C9" s="1" t="s">
        <v>18</v>
      </c>
      <c r="D9" s="1" t="s">
        <v>7</v>
      </c>
      <c r="E9" s="1" t="s">
        <v>19</v>
      </c>
      <c r="F9" s="3" t="str">
        <f t="shared" si="0"/>
        <v>Average</v>
      </c>
    </row>
    <row r="10" spans="1:6">
      <c r="A10" s="1" t="s">
        <v>15</v>
      </c>
      <c r="B10" s="1">
        <v>55000</v>
      </c>
      <c r="C10" s="1" t="s">
        <v>10</v>
      </c>
      <c r="D10" s="1" t="s">
        <v>7</v>
      </c>
      <c r="E10" s="1" t="s">
        <v>8</v>
      </c>
      <c r="F10" s="3" t="str">
        <f t="shared" si="0"/>
        <v>Average</v>
      </c>
    </row>
    <row r="11" spans="1:6">
      <c r="A11" s="1" t="s">
        <v>17</v>
      </c>
      <c r="B11" s="1">
        <v>73000</v>
      </c>
      <c r="C11" s="1" t="s">
        <v>13</v>
      </c>
      <c r="D11" s="1" t="s">
        <v>16</v>
      </c>
      <c r="E11" s="1" t="s">
        <v>11</v>
      </c>
      <c r="F11" s="3" t="str">
        <f t="shared" si="0"/>
        <v>Good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selection activeCell="C7" sqref="C7"/>
    </sheetView>
  </sheetViews>
  <sheetFormatPr defaultRowHeight="14.4"/>
  <cols>
    <col min="2" max="2" width="37.44140625" customWidth="1"/>
    <col min="3" max="3" width="18.44140625" customWidth="1"/>
    <col min="4" max="4" width="25.5546875" customWidth="1"/>
    <col min="5" max="6" width="10.44140625" customWidth="1"/>
  </cols>
  <sheetData>
    <row r="1" spans="1:6">
      <c r="A1" s="1"/>
      <c r="B1" s="1" t="s">
        <v>20</v>
      </c>
      <c r="C1" s="1" t="s">
        <v>28</v>
      </c>
      <c r="D1" s="1" t="s">
        <v>29</v>
      </c>
    </row>
    <row r="2" spans="1:6">
      <c r="A2" s="1"/>
      <c r="B2" s="1" t="s">
        <v>2</v>
      </c>
      <c r="C2" s="1" t="s">
        <v>21</v>
      </c>
      <c r="D2" s="1" t="s">
        <v>22</v>
      </c>
    </row>
    <row r="3" spans="1:6">
      <c r="A3" s="1"/>
      <c r="B3" s="1" t="s">
        <v>6</v>
      </c>
      <c r="C3" s="1">
        <f>SUMIF(RawData!C:C,"North",RawData!B:B)</f>
        <v>227000</v>
      </c>
      <c r="D3" s="1">
        <f>COUNTIF(RawData!C:C,"North")</f>
        <v>3</v>
      </c>
    </row>
    <row r="4" spans="1:6">
      <c r="A4" s="1"/>
      <c r="B4" s="1" t="s">
        <v>10</v>
      </c>
      <c r="C4" s="1">
        <f>SUMIF(RawData!C:C,"South",RawData!B:B)</f>
        <v>266000</v>
      </c>
      <c r="D4" s="1">
        <f>COUNTIF(RawData!C:C,"South")</f>
        <v>3</v>
      </c>
    </row>
    <row r="5" spans="1:6">
      <c r="A5" s="1"/>
      <c r="B5" s="1" t="s">
        <v>18</v>
      </c>
      <c r="C5" s="1">
        <f>SUMIF(RawData!C:C,"East",RawData!B:B)</f>
        <v>105000</v>
      </c>
      <c r="D5" s="1">
        <f>COUNTIF(RawData!C:C,"East")</f>
        <v>2</v>
      </c>
    </row>
    <row r="6" spans="1:6">
      <c r="A6" s="1"/>
      <c r="B6" s="1" t="s">
        <v>13</v>
      </c>
      <c r="C6" s="1">
        <f>SUMIF(RawData!C:C,"West",RawData!B:B)</f>
        <v>118000</v>
      </c>
      <c r="D6" s="1">
        <f>COUNTIF(RawData!C:C,"West")</f>
        <v>2</v>
      </c>
    </row>
    <row r="7" spans="1:6">
      <c r="A7" s="1"/>
      <c r="B7" s="1" t="s">
        <v>23</v>
      </c>
      <c r="C7" s="1">
        <f>SUM(B3:B6)</f>
        <v>0</v>
      </c>
      <c r="D7" s="1">
        <f>SUM(C3:C6)</f>
        <v>716000</v>
      </c>
    </row>
    <row r="8" spans="1:6">
      <c r="A8" s="1"/>
      <c r="B8" s="1" t="s">
        <v>24</v>
      </c>
      <c r="C8" s="1" t="s">
        <v>24</v>
      </c>
      <c r="D8" s="1" t="s">
        <v>24</v>
      </c>
    </row>
    <row r="9" spans="1:6">
      <c r="A9" s="1"/>
      <c r="B9" s="1" t="s">
        <v>25</v>
      </c>
      <c r="C9" s="1"/>
      <c r="D9" s="1"/>
    </row>
    <row r="10" spans="1:6">
      <c r="A10" s="1"/>
      <c r="B10" s="1" t="s">
        <v>26</v>
      </c>
      <c r="C10" s="1" t="s">
        <v>21</v>
      </c>
      <c r="D10" s="1" t="s">
        <v>27</v>
      </c>
    </row>
    <row r="11" spans="1:6">
      <c r="A11" s="1"/>
      <c r="B11" s="1" t="s">
        <v>8</v>
      </c>
      <c r="C11" s="1">
        <f>SUMIF(RawData!E:E,"Rahul",RawData!B:B)</f>
        <v>172000</v>
      </c>
      <c r="D11" s="1">
        <f>COUNTIF(RawData!E:E,"Rahul")</f>
        <v>3</v>
      </c>
    </row>
    <row r="12" spans="1:6">
      <c r="A12" s="1"/>
      <c r="B12" s="1" t="s">
        <v>11</v>
      </c>
      <c r="C12" s="1">
        <f>SUMIF(RawData!E:E,"Priya",RawData!B:B)</f>
        <v>284000</v>
      </c>
      <c r="D12" s="1">
        <f>COUNTIF(RawData!E:E,"Priya")</f>
        <v>3</v>
      </c>
    </row>
    <row r="13" spans="1:6">
      <c r="A13" s="1"/>
      <c r="B13" s="1" t="s">
        <v>14</v>
      </c>
      <c r="C13" s="1">
        <f>SUMIF(RawData!E:E,"Amit",RawData!B:B)</f>
        <v>155000</v>
      </c>
      <c r="D13" s="1">
        <f>COUNTIF(RawData!E:E,"Amit")</f>
        <v>2</v>
      </c>
    </row>
    <row r="14" spans="1:6">
      <c r="A14" s="1"/>
      <c r="B14" s="1" t="s">
        <v>19</v>
      </c>
      <c r="C14" s="1">
        <f>SUMIF(RawData!E:E,"Neha",RawData!B:B)</f>
        <v>105000</v>
      </c>
      <c r="D14" s="1">
        <f>COUNTIF(RawData!E:E,"Neha")</f>
        <v>2</v>
      </c>
    </row>
    <row r="16" spans="1:6">
      <c r="B16" s="1" t="s">
        <v>31</v>
      </c>
      <c r="C16" s="1" t="s">
        <v>28</v>
      </c>
      <c r="D16" s="1" t="s">
        <v>29</v>
      </c>
      <c r="E16" s="1" t="s">
        <v>32</v>
      </c>
      <c r="F16" s="1" t="s">
        <v>33</v>
      </c>
    </row>
    <row r="17" spans="2:6">
      <c r="B17" s="1">
        <v>17</v>
      </c>
      <c r="C17" s="1" t="s">
        <v>3</v>
      </c>
      <c r="D17" s="1" t="s">
        <v>2</v>
      </c>
      <c r="E17" s="1" t="s">
        <v>21</v>
      </c>
      <c r="F17" s="1" t="s">
        <v>24</v>
      </c>
    </row>
    <row r="18" spans="2:6">
      <c r="B18" s="1">
        <v>18</v>
      </c>
      <c r="C18" s="1" t="s">
        <v>7</v>
      </c>
      <c r="D18" s="1" t="s">
        <v>6</v>
      </c>
      <c r="E18" s="1">
        <f>SUMIFS(RawData!B:B,RawData!D:D,"Jan",RawData!C:C,"North")</f>
        <v>85000</v>
      </c>
      <c r="F18" s="1" t="s">
        <v>24</v>
      </c>
    </row>
    <row r="19" spans="2:6">
      <c r="B19" s="1">
        <v>19</v>
      </c>
      <c r="C19" s="1" t="s">
        <v>7</v>
      </c>
      <c r="D19" s="1" t="s">
        <v>10</v>
      </c>
      <c r="E19" s="1">
        <f>SUMIFS(RawData!B:B,RawData!D:D,"Jan",RawData!C:C,"South")</f>
        <v>175000</v>
      </c>
      <c r="F19" s="1" t="s">
        <v>24</v>
      </c>
    </row>
    <row r="20" spans="2:6">
      <c r="B20" s="1">
        <v>20</v>
      </c>
      <c r="C20" s="1" t="s">
        <v>16</v>
      </c>
      <c r="D20" s="1" t="s">
        <v>6</v>
      </c>
      <c r="E20" s="1">
        <f>SUMIFS(RawData!B:B,RawData!D:D,"Feb",RawData!C:C,"North")</f>
        <v>142000</v>
      </c>
      <c r="F20" s="1" t="s">
        <v>24</v>
      </c>
    </row>
    <row r="21" spans="2:6">
      <c r="B21" s="1">
        <v>21</v>
      </c>
      <c r="C21" s="1" t="s">
        <v>16</v>
      </c>
      <c r="D21" s="1" t="s">
        <v>10</v>
      </c>
      <c r="E21" s="1">
        <f>SUMIFS(RawData!B:B,RawData!D:D,"Feb",RawData!C:C,"South")</f>
        <v>91000</v>
      </c>
      <c r="F21" s="1" t="s">
        <v>24</v>
      </c>
    </row>
    <row r="22" spans="2:6">
      <c r="B22" s="5" t="s">
        <v>34</v>
      </c>
      <c r="C22" s="4"/>
      <c r="D22" s="4"/>
      <c r="E22" s="4"/>
      <c r="F22" s="4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E4" sqref="E4"/>
    </sheetView>
  </sheetViews>
  <sheetFormatPr defaultRowHeight="14.4"/>
  <cols>
    <col min="1" max="1" width="5.88671875" customWidth="1"/>
    <col min="2" max="2" width="35.88671875" customWidth="1"/>
    <col min="3" max="3" width="27.109375" customWidth="1"/>
    <col min="4" max="4" width="43.109375" customWidth="1"/>
    <col min="5" max="5" width="30.109375" customWidth="1"/>
  </cols>
  <sheetData>
    <row r="1" spans="1:5">
      <c r="A1" s="1">
        <v>1</v>
      </c>
      <c r="B1" s="7" t="s">
        <v>35</v>
      </c>
      <c r="C1" s="7"/>
      <c r="D1" s="7"/>
      <c r="E1" s="7"/>
    </row>
    <row r="2" spans="1:5">
      <c r="A2" s="1">
        <v>3</v>
      </c>
      <c r="B2" s="6" t="s">
        <v>21</v>
      </c>
      <c r="C2" s="6" t="s">
        <v>36</v>
      </c>
      <c r="D2" s="6" t="s">
        <v>37</v>
      </c>
      <c r="E2" s="6" t="s">
        <v>38</v>
      </c>
    </row>
    <row r="3" spans="1:5">
      <c r="A3" s="1">
        <v>4</v>
      </c>
      <c r="B3" s="6">
        <f>SUM(RawData!B:B)</f>
        <v>716000</v>
      </c>
      <c r="C3" s="6" t="e">
        <f>INDEX(Analysis!A3:A6,MATCH(MAX(Analysis!B3:B6),Analysis!B3:B6,0))</f>
        <v>#N/A</v>
      </c>
      <c r="D3" s="6" t="e">
        <f>INDEX(Analysis!A11:A14,MATCH(MAX(Analysis!B11:B14),Analysis!B11:B14,0))</f>
        <v>#N/A</v>
      </c>
      <c r="E3" s="6">
        <f>COUNTA(RawData!A2:A11)</f>
        <v>10</v>
      </c>
    </row>
    <row r="4" spans="1:5">
      <c r="A4" s="1">
        <v>5</v>
      </c>
      <c r="B4" s="6" t="s">
        <v>39</v>
      </c>
      <c r="C4" s="6" t="s">
        <v>6</v>
      </c>
      <c r="D4" s="6" t="s">
        <v>11</v>
      </c>
      <c r="E4" s="6">
        <v>10</v>
      </c>
    </row>
  </sheetData>
  <mergeCells count="1">
    <mergeCell ref="B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Analysis</vt:lpstr>
      <vt:lpstr> Dashboard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com</cp:lastModifiedBy>
  <dcterms:created xsi:type="dcterms:W3CDTF">2026-04-15T04:52:51Z</dcterms:created>
  <dcterms:modified xsi:type="dcterms:W3CDTF">2026-04-15T05:32:51Z</dcterms:modified>
</cp:coreProperties>
</file>