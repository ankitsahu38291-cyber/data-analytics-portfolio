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5255" windowHeight="6165" activeTab="1"/>
  </bookViews>
  <sheets>
    <sheet name="Probability Calculations" sheetId="1" r:id="rId1"/>
    <sheet name="Normal Distribution" sheetId="2" r:id="rId2"/>
  </sheets>
  <calcPr calcId="124519"/>
</workbook>
</file>

<file path=xl/calcChain.xml><?xml version="1.0" encoding="utf-8"?>
<calcChain xmlns="http://schemas.openxmlformats.org/spreadsheetml/2006/main">
  <c r="A27" i="1"/>
  <c r="A24"/>
  <c r="A21"/>
  <c r="A15"/>
  <c r="A18"/>
</calcChain>
</file>

<file path=xl/sharedStrings.xml><?xml version="1.0" encoding="utf-8"?>
<sst xmlns="http://schemas.openxmlformats.org/spreadsheetml/2006/main" count="67" uniqueCount="35">
  <si>
    <t>Product</t>
  </si>
  <si>
    <t>Sales</t>
  </si>
  <si>
    <t>Region</t>
  </si>
  <si>
    <t>Month</t>
  </si>
  <si>
    <t>Salesperson</t>
  </si>
  <si>
    <t>Rating</t>
  </si>
  <si>
    <t>Mobile</t>
  </si>
  <si>
    <t>North</t>
  </si>
  <si>
    <t>Jan</t>
  </si>
  <si>
    <t>Rahul</t>
  </si>
  <si>
    <t>Good</t>
  </si>
  <si>
    <t>Laptop</t>
  </si>
  <si>
    <t>South</t>
  </si>
  <si>
    <t>Priya</t>
  </si>
  <si>
    <t>Excellent</t>
  </si>
  <si>
    <t>Tablet</t>
  </si>
  <si>
    <t>West</t>
  </si>
  <si>
    <t>Amit</t>
  </si>
  <si>
    <t>Average</t>
  </si>
  <si>
    <t>Headphones</t>
  </si>
  <si>
    <t>Feb</t>
  </si>
  <si>
    <t>Smartwatch</t>
  </si>
  <si>
    <t>East</t>
  </si>
  <si>
    <t>Neha</t>
  </si>
  <si>
    <t>p(sale&gt;50,000)</t>
  </si>
  <si>
    <t>p(North region)</t>
  </si>
  <si>
    <t>p(Laptop AND North</t>
  </si>
  <si>
    <t>p(Mobile OR South)</t>
  </si>
  <si>
    <t>mean</t>
  </si>
  <si>
    <t>p(sale NOT&gt;50,000)</t>
  </si>
  <si>
    <t>SD</t>
  </si>
  <si>
    <t>P(sale &lt; 80k)</t>
  </si>
  <si>
    <t>P(sale &gt; 80k)</t>
  </si>
  <si>
    <t>P(50k &lt; sale &lt; 70k)</t>
  </si>
  <si>
    <t>68428.57143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</si>
</sst>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D0D0D"/>
      <name val="Courier New"/>
      <family val="3"/>
    </font>
    <font>
      <b/>
      <sz val="18"/>
      <color theme="3"/>
      <name val="Cambria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/>
    <xf numFmtId="0" fontId="5" fillId="0" borderId="0" xfId="0" applyFont="1"/>
    <xf numFmtId="0" fontId="1" fillId="3" borderId="0" xfId="2" applyFont="1" applyAlignment="1">
      <alignment horizontal="center"/>
    </xf>
    <xf numFmtId="0" fontId="2" fillId="2" borderId="0" xfId="1" applyFont="1" applyAlignment="1">
      <alignment horizontal="center"/>
    </xf>
    <xf numFmtId="0" fontId="1" fillId="5" borderId="0" xfId="4" applyFont="1" applyAlignment="1">
      <alignment horizontal="center"/>
    </xf>
    <xf numFmtId="0" fontId="2" fillId="4" borderId="0" xfId="3" applyFont="1" applyAlignment="1">
      <alignment horizontal="center"/>
    </xf>
    <xf numFmtId="0" fontId="1" fillId="2" borderId="0" xfId="1" applyFont="1" applyAlignment="1">
      <alignment horizontal="center"/>
    </xf>
    <xf numFmtId="0" fontId="3" fillId="2" borderId="0" xfId="1" applyAlignment="1">
      <alignment horizontal="center"/>
    </xf>
    <xf numFmtId="0" fontId="2" fillId="3" borderId="0" xfId="2" applyFont="1" applyAlignment="1">
      <alignment horizontal="center"/>
    </xf>
    <xf numFmtId="0" fontId="1" fillId="4" borderId="0" xfId="3" applyFont="1" applyAlignment="1">
      <alignment horizontal="center"/>
    </xf>
    <xf numFmtId="0" fontId="3" fillId="4" borderId="0" xfId="3" applyAlignment="1">
      <alignment horizontal="center"/>
    </xf>
    <xf numFmtId="0" fontId="2" fillId="5" borderId="0" xfId="4" applyFont="1" applyAlignment="1">
      <alignment horizontal="center"/>
    </xf>
    <xf numFmtId="0" fontId="1" fillId="6" borderId="0" xfId="5" applyFont="1" applyAlignment="1">
      <alignment horizontal="center"/>
    </xf>
    <xf numFmtId="0" fontId="3" fillId="6" borderId="0" xfId="5" applyAlignment="1">
      <alignment horizontal="center"/>
    </xf>
    <xf numFmtId="0" fontId="2" fillId="7" borderId="0" xfId="6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7" fillId="0" borderId="0" xfId="7"/>
    <xf numFmtId="0" fontId="7" fillId="0" borderId="0" xfId="7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8"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Normal" xfId="0" builtinId="0"/>
    <cellStyle name="Title" xfId="7" builtinId="1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11" totalsRowShown="0">
  <autoFilter ref="A1:F11"/>
  <tableColumns count="6">
    <tableColumn id="1" name="Product"/>
    <tableColumn id="2" name="Sales"/>
    <tableColumn id="3" name="Region"/>
    <tableColumn id="4" name="Month"/>
    <tableColumn id="5" name="Salesperson"/>
    <tableColumn id="6" name="Rat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6" totalsRowShown="0">
  <autoFilter ref="A1:B6"/>
  <tableColumns count="2">
    <tableColumn id="1" name="mean" dataDxfId="1"/>
    <tableColumn id="2" name="68428.5714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activeCell="E15" sqref="E15"/>
    </sheetView>
  </sheetViews>
  <sheetFormatPr defaultRowHeight="15"/>
  <cols>
    <col min="1" max="1" width="10" customWidth="1"/>
    <col min="3" max="3" width="9.28515625" customWidth="1"/>
    <col min="5" max="5" width="1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85000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120000</v>
      </c>
      <c r="C3" t="s">
        <v>12</v>
      </c>
      <c r="D3" t="s">
        <v>8</v>
      </c>
      <c r="E3" t="s">
        <v>13</v>
      </c>
      <c r="F3" t="s">
        <v>14</v>
      </c>
    </row>
    <row r="4" spans="1:6">
      <c r="A4" t="s">
        <v>15</v>
      </c>
      <c r="B4">
        <v>45000</v>
      </c>
      <c r="C4" t="s">
        <v>16</v>
      </c>
      <c r="D4" t="s">
        <v>8</v>
      </c>
      <c r="E4" t="s">
        <v>17</v>
      </c>
      <c r="F4" t="s">
        <v>18</v>
      </c>
    </row>
    <row r="5" spans="1:6">
      <c r="A5" t="s">
        <v>19</v>
      </c>
      <c r="B5">
        <v>32000</v>
      </c>
      <c r="C5" t="s">
        <v>7</v>
      </c>
      <c r="D5" t="s">
        <v>20</v>
      </c>
      <c r="E5" t="s">
        <v>9</v>
      </c>
      <c r="F5" t="s">
        <v>18</v>
      </c>
    </row>
    <row r="6" spans="1:6">
      <c r="A6" t="s">
        <v>21</v>
      </c>
      <c r="B6">
        <v>67000</v>
      </c>
      <c r="C6" t="s">
        <v>22</v>
      </c>
      <c r="D6" t="s">
        <v>20</v>
      </c>
      <c r="E6" t="s">
        <v>23</v>
      </c>
      <c r="F6" t="s">
        <v>10</v>
      </c>
    </row>
    <row r="7" spans="1:6">
      <c r="A7" t="s">
        <v>6</v>
      </c>
      <c r="B7">
        <v>91000</v>
      </c>
      <c r="C7" t="s">
        <v>12</v>
      </c>
      <c r="D7" t="s">
        <v>20</v>
      </c>
      <c r="E7" t="s">
        <v>13</v>
      </c>
      <c r="F7" t="s">
        <v>10</v>
      </c>
    </row>
    <row r="8" spans="1:6">
      <c r="A8" t="s">
        <v>11</v>
      </c>
      <c r="B8">
        <v>110000</v>
      </c>
      <c r="C8" t="s">
        <v>7</v>
      </c>
      <c r="D8" t="s">
        <v>20</v>
      </c>
      <c r="E8" t="s">
        <v>17</v>
      </c>
      <c r="F8" t="s">
        <v>14</v>
      </c>
    </row>
    <row r="9" spans="1:6">
      <c r="A9" t="s">
        <v>15</v>
      </c>
      <c r="B9">
        <v>38000</v>
      </c>
      <c r="C9" t="s">
        <v>22</v>
      </c>
      <c r="D9" t="s">
        <v>8</v>
      </c>
      <c r="E9" t="s">
        <v>23</v>
      </c>
      <c r="F9" t="s">
        <v>18</v>
      </c>
    </row>
    <row r="10" spans="1:6">
      <c r="A10" t="s">
        <v>19</v>
      </c>
      <c r="B10">
        <v>55000</v>
      </c>
      <c r="C10" t="s">
        <v>12</v>
      </c>
      <c r="D10" t="s">
        <v>8</v>
      </c>
      <c r="E10" t="s">
        <v>9</v>
      </c>
      <c r="F10" t="s">
        <v>18</v>
      </c>
    </row>
    <row r="11" spans="1:6">
      <c r="A11" t="s">
        <v>21</v>
      </c>
      <c r="B11">
        <v>73000</v>
      </c>
      <c r="C11" t="s">
        <v>16</v>
      </c>
      <c r="D11" t="s">
        <v>20</v>
      </c>
      <c r="E11" t="s">
        <v>13</v>
      </c>
      <c r="F11" t="s">
        <v>10</v>
      </c>
    </row>
    <row r="14" spans="1:6">
      <c r="A14" s="9" t="s">
        <v>24</v>
      </c>
      <c r="B14" s="10"/>
    </row>
    <row r="15" spans="1:6">
      <c r="A15" s="11">
        <f>COUNTIF(B2:B11,"&gt;50000")/COUNTA(B2:B11)</f>
        <v>0.7</v>
      </c>
      <c r="B15" s="11"/>
    </row>
    <row r="17" spans="1:2">
      <c r="A17" s="12" t="s">
        <v>25</v>
      </c>
      <c r="B17" s="13"/>
    </row>
    <row r="18" spans="1:2">
      <c r="A18" s="14">
        <f>COUNTIF(C2:C11,"North")/COUNTA(C2:C11)</f>
        <v>0.3</v>
      </c>
      <c r="B18" s="14"/>
    </row>
    <row r="20" spans="1:2">
      <c r="A20" s="15" t="s">
        <v>26</v>
      </c>
      <c r="B20" s="16"/>
    </row>
    <row r="21" spans="1:2">
      <c r="A21" s="17">
        <f>COUNTIFS(A2:A11,"Laptop",C2:C11,"North")/COUNTA(A2:A11)</f>
        <v>0.1</v>
      </c>
      <c r="B21" s="17"/>
    </row>
    <row r="23" spans="1:2">
      <c r="A23" s="5" t="s">
        <v>27</v>
      </c>
      <c r="B23" s="5"/>
    </row>
    <row r="24" spans="1:2">
      <c r="A24" s="6">
        <f>(COUNTIF(A2:A11,"Mobile")+COUNTIF(C2:C11,"South")-COUNTIFS(A2:A11,"Mobile",C2:C11,"South"))/COUNTA(A2:A11)</f>
        <v>0.4</v>
      </c>
      <c r="B24" s="6"/>
    </row>
    <row r="26" spans="1:2">
      <c r="A26" s="7" t="s">
        <v>29</v>
      </c>
      <c r="B26" s="7"/>
    </row>
    <row r="27" spans="1:2">
      <c r="A27" s="8">
        <f>1-(COUNTIF(B2:B11,"&gt;50000")/COUNTA(B2:B11))</f>
        <v>0.30000000000000004</v>
      </c>
      <c r="B27" s="8"/>
    </row>
  </sheetData>
  <mergeCells count="10">
    <mergeCell ref="A23:B23"/>
    <mergeCell ref="A24:B24"/>
    <mergeCell ref="A26:B26"/>
    <mergeCell ref="A27:B27"/>
    <mergeCell ref="A14:B14"/>
    <mergeCell ref="A15:B15"/>
    <mergeCell ref="A17:B17"/>
    <mergeCell ref="A18:B18"/>
    <mergeCell ref="A20:B20"/>
    <mergeCell ref="A21:B2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selection activeCell="C6" sqref="C6"/>
    </sheetView>
  </sheetViews>
  <sheetFormatPr defaultRowHeight="15"/>
  <cols>
    <col min="1" max="1" width="23.140625" customWidth="1"/>
    <col min="2" max="2" width="20.85546875" customWidth="1"/>
    <col min="3" max="3" width="18.42578125" customWidth="1"/>
  </cols>
  <sheetData>
    <row r="1" spans="1:8" ht="27.75" customHeight="1">
      <c r="A1" s="20" t="s">
        <v>28</v>
      </c>
      <c r="B1" s="19" t="s">
        <v>34</v>
      </c>
      <c r="C1" s="1"/>
      <c r="E1" s="2"/>
      <c r="F1" s="2"/>
      <c r="G1" s="2"/>
      <c r="H1" s="2"/>
    </row>
    <row r="2" spans="1:8" ht="22.5" customHeight="1">
      <c r="A2" s="20" t="s">
        <v>30</v>
      </c>
      <c r="B2" s="23">
        <v>30330.777170000001</v>
      </c>
      <c r="C2" s="1"/>
      <c r="E2" s="18"/>
      <c r="F2" s="18"/>
    </row>
    <row r="3" spans="1:8">
      <c r="A3" s="3"/>
      <c r="B3" s="4"/>
      <c r="C3" s="1"/>
      <c r="E3" s="2"/>
      <c r="F3" s="2"/>
      <c r="G3" s="2"/>
      <c r="H3" s="2"/>
    </row>
    <row r="4" spans="1:8" ht="28.5" customHeight="1">
      <c r="A4" s="21" t="s">
        <v>31</v>
      </c>
      <c r="B4" s="22">
        <v>0.64858676400000004</v>
      </c>
      <c r="C4" s="1"/>
    </row>
    <row r="5" spans="1:8" ht="39" customHeight="1">
      <c r="A5" s="21" t="s">
        <v>32</v>
      </c>
      <c r="B5" s="22">
        <v>0.35141323600000002</v>
      </c>
      <c r="C5" s="1"/>
    </row>
    <row r="6" spans="1:8" ht="47.25" customHeight="1">
      <c r="A6" s="21" t="s">
        <v>33</v>
      </c>
      <c r="B6" s="22">
        <v>0.248928967</v>
      </c>
      <c r="C6" s="1"/>
    </row>
    <row r="7" spans="1:8">
      <c r="A7" s="1"/>
    </row>
    <row r="8" spans="1:8">
      <c r="A8" s="1"/>
    </row>
    <row r="9" spans="1:8">
      <c r="A9" s="1"/>
    </row>
    <row r="10" spans="1:8">
      <c r="A10" s="1"/>
    </row>
    <row r="11" spans="1:8">
      <c r="A11" s="1"/>
    </row>
    <row r="12" spans="1:8">
      <c r="A12" s="1"/>
    </row>
    <row r="13" spans="1:8">
      <c r="A13" s="1"/>
    </row>
    <row r="14" spans="1:8">
      <c r="A14" s="1"/>
    </row>
    <row r="15" spans="1:8">
      <c r="A15" s="1"/>
    </row>
  </sheetData>
  <mergeCells count="1">
    <mergeCell ref="E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Probability Calculations</vt:lpstr>
      <vt:lpstr>Normal Distribution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2026-04-17T15:30:16Z</dcterms:created>
  <dcterms:modified xsi:type="dcterms:W3CDTF">2026-04-18T08:29:15Z</dcterms:modified>
</cp:coreProperties>
</file>